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20024029-E236-4E85-8C2A-307A83443040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Answer Report" sheetId="2" r:id="rId1"/>
    <sheet name="Senario1" sheetId="3" r:id="rId2"/>
    <sheet name="Senario2" sheetId="4" r:id="rId3"/>
    <sheet name="Senario3" sheetId="5" r:id="rId4"/>
    <sheet name="Sheet1" sheetId="1" r:id="rId5"/>
  </sheets>
  <definedNames>
    <definedName name="solver_adj" localSheetId="4" hidden="1">Sheet1!$B$6:$B$9</definedName>
    <definedName name="solver_eng" localSheetId="0" hidden="1">0</definedName>
    <definedName name="solver_eng" localSheetId="1" hidden="1">0</definedName>
    <definedName name="solver_eng" localSheetId="2" hidden="1">0</definedName>
    <definedName name="solver_eng" localSheetId="3" hidden="1">0</definedName>
    <definedName name="solver_eng" localSheetId="4" hidden="1">0</definedName>
    <definedName name="solver_lhs1" localSheetId="4" hidden="1">Sheet1!$D$11</definedName>
    <definedName name="solver_lhs10" localSheetId="4" hidden="1">Sheet1!$B$6</definedName>
    <definedName name="solver_lhs2" localSheetId="4" hidden="1">Sheet1!$E$11</definedName>
    <definedName name="solver_lhs3" localSheetId="4" hidden="1">Sheet1!$B$9</definedName>
    <definedName name="solver_lhs4" localSheetId="4" hidden="1">Sheet1!$B$11</definedName>
    <definedName name="solver_lhs5" localSheetId="4" hidden="1">Sheet1!$B$6</definedName>
    <definedName name="solver_lhs6" localSheetId="4" hidden="1">Sheet1!$B$8</definedName>
    <definedName name="solver_lhs7" localSheetId="4" hidden="1">Sheet1!$B$7</definedName>
    <definedName name="solver_lhs8" localSheetId="4" hidden="1">Sheet1!$B$7</definedName>
    <definedName name="solver_lhs9" localSheetId="4" hidden="1">Sheet1!$B$6:$B$8</definedName>
    <definedName name="solver_neg" localSheetId="4" hidden="1">1</definedName>
    <definedName name="solver_num" localSheetId="4" hidden="1">10</definedName>
    <definedName name="solver_opt" localSheetId="4" hidden="1">Sheet1!$C$11</definedName>
    <definedName name="solver_rel1" localSheetId="4" hidden="1">1</definedName>
    <definedName name="solver_rel10" localSheetId="4" hidden="1">1</definedName>
    <definedName name="solver_rel2" localSheetId="4" hidden="1">1</definedName>
    <definedName name="solver_rel3" localSheetId="4" hidden="1">1</definedName>
    <definedName name="solver_rel4" localSheetId="4" hidden="1">3</definedName>
    <definedName name="solver_rel5" localSheetId="4" hidden="1">3</definedName>
    <definedName name="solver_rel6" localSheetId="4" hidden="1">1</definedName>
    <definedName name="solver_rel7" localSheetId="4" hidden="1">3</definedName>
    <definedName name="solver_rel8" localSheetId="4" hidden="1">3</definedName>
    <definedName name="solver_rel9" localSheetId="4" hidden="1">4</definedName>
    <definedName name="solver_rhs1" localSheetId="4" hidden="1">Sheet1!$D$12</definedName>
    <definedName name="solver_rhs10" localSheetId="4" hidden="1">"0.45*B11"</definedName>
    <definedName name="solver_rhs2" localSheetId="4" hidden="1">36000</definedName>
    <definedName name="solver_rhs3" localSheetId="4" hidden="1">20</definedName>
    <definedName name="solver_rhs4" localSheetId="4" hidden="1">900</definedName>
    <definedName name="solver_rhs5" localSheetId="4" hidden="1">"0.35*B11"</definedName>
    <definedName name="solver_rhs6" localSheetId="4" hidden="1">"0.3*B11"</definedName>
    <definedName name="solver_rhs7" localSheetId="4" hidden="1">"0.2*B11"</definedName>
    <definedName name="solver_rhs8" localSheetId="4" hidden="1">150</definedName>
    <definedName name="solver_rxc2" localSheetId="4" hidden="1">1</definedName>
    <definedName name="solver_rxc3" localSheetId="4" hidden="1">1</definedName>
    <definedName name="solver_rxc4" localSheetId="4" hidden="1">1</definedName>
    <definedName name="solver_rxc5" localSheetId="4" hidden="1">1</definedName>
    <definedName name="solver_rxc6" localSheetId="4" hidden="1">1</definedName>
    <definedName name="solver_rxc8" localSheetId="4" hidden="1">1</definedName>
    <definedName name="solver_rxv" localSheetId="4" hidden="1">1</definedName>
    <definedName name="solver_typ" localSheetId="4" hidden="1">1</definedName>
    <definedName name="solver_val" localSheetId="4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<sst xmlns="http://schemas.openxmlformats.org/spreadsheetml/2006/main" count="155" uniqueCount="48">
  <si>
    <t>Microsoft Excel Answer Report</t>
  </si>
  <si>
    <t>Worksheet: Sheet1</t>
  </si>
  <si>
    <t>Report Created:Mon Oct 05 2026 23:12:56 GMT+0000 (Greenwich Mean Time)</t>
  </si>
  <si>
    <t>Result: Solver found a solution.  All constraints and optimality conditions are satisfied.</t>
  </si>
  <si>
    <t>Engine: LP/Quadratic</t>
  </si>
  <si>
    <t>Solution Time: 6 milliseconds</t>
  </si>
  <si>
    <t>Iterations: 15</t>
  </si>
  <si>
    <t>Subproblems: 10</t>
  </si>
  <si>
    <t>Incumbent Solutions: 3</t>
  </si>
  <si>
    <t>Objective Cell (Max)</t>
  </si>
  <si>
    <t>Cell</t>
  </si>
  <si>
    <t>Original Value</t>
  </si>
  <si>
    <t>Final Value</t>
  </si>
  <si>
    <t>Sheet1'!C11</t>
  </si>
  <si>
    <t>Decision Variable Cells</t>
  </si>
  <si>
    <t>$B$6</t>
  </si>
  <si>
    <t>$B$7</t>
  </si>
  <si>
    <t>$B$8</t>
  </si>
  <si>
    <t>$B$9</t>
  </si>
  <si>
    <t>Constraints</t>
  </si>
  <si>
    <t>Lower Bound</t>
  </si>
  <si>
    <t>Upper Bound</t>
  </si>
  <si>
    <t>Slack</t>
  </si>
  <si>
    <t>$D$11</t>
  </si>
  <si>
    <t>$E$11</t>
  </si>
  <si>
    <t>$B$11</t>
  </si>
  <si>
    <t>Report Created:Mon Oct 05 2026 23:57:57 GMT+0000 (Greenwich Mean Time)</t>
  </si>
  <si>
    <t>Iterations: 18</t>
  </si>
  <si>
    <t>Subproblems: 8</t>
  </si>
  <si>
    <t>Incumbent Solutions: 2</t>
  </si>
  <si>
    <t>Report Created:Tue Oct 06 2026 00:08:16 GMT+0000 (Greenwich Mean Time)</t>
  </si>
  <si>
    <t>Solution Time: 4 milliseconds</t>
  </si>
  <si>
    <t>Iterations: 8</t>
  </si>
  <si>
    <t>Report Created:Tue Oct 06 2026 00:12:03 GMT+0000 (Greenwich Mean Time)</t>
  </si>
  <si>
    <t>Solution Time: 5 milliseconds</t>
  </si>
  <si>
    <t>AeroPack production and capacity</t>
  </si>
  <si>
    <t>Bags</t>
  </si>
  <si>
    <t>Quantity</t>
  </si>
  <si>
    <t>Profit($)</t>
  </si>
  <si>
    <t>Fabric(m)</t>
  </si>
  <si>
    <t>Pro-time</t>
  </si>
  <si>
    <t>urban</t>
  </si>
  <si>
    <t>travel</t>
  </si>
  <si>
    <t>executive</t>
  </si>
  <si>
    <t>add-time</t>
  </si>
  <si>
    <t>Total</t>
  </si>
  <si>
    <t>Limit</t>
  </si>
  <si>
    <t>&gt;=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</si>
</sst>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28"/>
      <color rgb="FF305496"/>
      <name val="Calibri"/>
      <scheme val="minor"/>
    </font>
    <font>
      <b/>
      <sz val="8"/>
      <color theme="1"/>
      <name val="Helv"/>
    </font>
    <font>
      <sz val="8"/>
      <color theme="1"/>
      <name val="Helv"/>
    </font>
    <font>
      <b/>
      <sz val="8"/>
      <color rgb="FF0000FF"/>
      <name val="Helv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B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 style="double">
        <color theme="4"/>
      </bottom>
      <diagonal/>
    </border>
    <border>
      <left style="double">
        <color theme="4"/>
      </left>
      <right/>
      <top style="double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5" xfId="0" applyFont="1" applyBorder="1"/>
    <xf numFmtId="0" fontId="4" fillId="0" borderId="15" xfId="0" quotePrefix="1" applyFont="1" applyBorder="1"/>
    <xf numFmtId="0" fontId="4" fillId="0" borderId="16" xfId="0" applyFont="1" applyBorder="1"/>
    <xf numFmtId="0" fontId="0" fillId="2" borderId="9" xfId="0" applyFill="1" applyBorder="1"/>
    <xf numFmtId="0" fontId="2" fillId="2" borderId="1" xfId="0" applyFont="1" applyFill="1" applyBorder="1" applyAlignment="1">
      <alignment horizontal="center"/>
    </xf>
    <xf numFmtId="0" fontId="0" fillId="0" borderId="20" xfId="0" applyBorder="1"/>
    <xf numFmtId="0" fontId="0" fillId="0" borderId="17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6" fillId="3" borderId="17" xfId="0" applyFont="1" applyFill="1" applyBorder="1" applyAlignment="1">
      <alignment horizontal="center" vertical="center"/>
    </xf>
    <xf numFmtId="0" fontId="0" fillId="4" borderId="0" xfId="0" applyFill="1"/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/>
    <xf numFmtId="0" fontId="0" fillId="4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3EB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02EAF4-969F-481B-B77A-7D0459A6B1F9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695179124122458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78E7-5930-4448-ACA7-47B0365778E9}">
  <dimension ref="A1:G31"/>
  <sheetViews>
    <sheetView topLeftCell="A59" workbookViewId="0"/>
  </sheetViews>
  <sheetFormatPr defaultRowHeight="15"/>
  <sheetData>
    <row r="1" spans="1:4">
      <c r="A1" s="7" t="s">
        <v>0</v>
      </c>
    </row>
    <row r="2" spans="1:4">
      <c r="A2" s="7" t="s">
        <v>1</v>
      </c>
    </row>
    <row r="3" spans="1:4">
      <c r="A3" s="7" t="s">
        <v>2</v>
      </c>
    </row>
    <row r="4" spans="1:4">
      <c r="A4" s="7" t="s">
        <v>3</v>
      </c>
    </row>
    <row r="5" spans="1:4">
      <c r="A5" s="7" t="s">
        <v>4</v>
      </c>
    </row>
    <row r="6" spans="1:4">
      <c r="A6" s="7" t="s">
        <v>5</v>
      </c>
    </row>
    <row r="7" spans="1:4">
      <c r="A7" s="7" t="s">
        <v>6</v>
      </c>
    </row>
    <row r="8" spans="1:4">
      <c r="A8" s="7" t="s">
        <v>7</v>
      </c>
    </row>
    <row r="9" spans="1:4">
      <c r="A9" s="7" t="s">
        <v>8</v>
      </c>
    </row>
    <row r="12" spans="1:4">
      <c r="A12" s="12" t="s">
        <v>9</v>
      </c>
      <c r="B12" s="12"/>
      <c r="C12" s="12"/>
      <c r="D12" s="12"/>
    </row>
    <row r="13" spans="1:4">
      <c r="A13" s="9"/>
      <c r="B13" s="9" t="s">
        <v>10</v>
      </c>
      <c r="C13" s="9" t="s">
        <v>11</v>
      </c>
      <c r="D13" s="9" t="s">
        <v>12</v>
      </c>
    </row>
    <row r="14" spans="1:4">
      <c r="A14" s="10"/>
      <c r="B14" s="11" t="s">
        <v>13</v>
      </c>
      <c r="C14" s="10">
        <v>0</v>
      </c>
      <c r="D14" s="10">
        <v>83040</v>
      </c>
    </row>
    <row r="17" spans="1:7">
      <c r="A17" s="12" t="s">
        <v>14</v>
      </c>
      <c r="B17" s="12"/>
      <c r="C17" s="12"/>
      <c r="D17" s="12"/>
    </row>
    <row r="18" spans="1:7">
      <c r="A18" s="9"/>
      <c r="B18" s="9" t="s">
        <v>10</v>
      </c>
      <c r="C18" s="9" t="s">
        <v>11</v>
      </c>
      <c r="D18" s="9" t="s">
        <v>12</v>
      </c>
    </row>
    <row r="19" spans="1:7">
      <c r="A19" s="8"/>
      <c r="B19" s="8" t="s">
        <v>15</v>
      </c>
      <c r="C19" s="8">
        <v>0</v>
      </c>
      <c r="D19" s="8">
        <v>552.00000000000011</v>
      </c>
    </row>
    <row r="20" spans="1:7">
      <c r="A20" s="8"/>
      <c r="B20" s="8" t="s">
        <v>16</v>
      </c>
      <c r="C20" s="8">
        <v>0</v>
      </c>
      <c r="D20" s="8">
        <v>816.00000000000057</v>
      </c>
    </row>
    <row r="21" spans="1:7">
      <c r="A21" s="8"/>
      <c r="B21" s="8" t="s">
        <v>17</v>
      </c>
      <c r="C21" s="8">
        <v>0</v>
      </c>
      <c r="D21" s="8">
        <v>11.999999999999545</v>
      </c>
    </row>
    <row r="22" spans="1:7">
      <c r="A22" s="10"/>
      <c r="B22" s="10" t="s">
        <v>18</v>
      </c>
      <c r="C22" s="10">
        <v>0</v>
      </c>
      <c r="D22" s="10">
        <v>0</v>
      </c>
    </row>
    <row r="24" spans="1:7">
      <c r="A24" s="12" t="s">
        <v>19</v>
      </c>
      <c r="B24" s="12"/>
      <c r="C24" s="12"/>
      <c r="D24" s="12"/>
      <c r="E24" s="12"/>
      <c r="F24" s="12"/>
      <c r="G24" s="12"/>
    </row>
    <row r="25" spans="1:7">
      <c r="A25" s="9"/>
      <c r="B25" s="9" t="s">
        <v>10</v>
      </c>
      <c r="C25" s="9" t="s">
        <v>11</v>
      </c>
      <c r="D25" s="9" t="s">
        <v>12</v>
      </c>
      <c r="E25" s="9" t="s">
        <v>20</v>
      </c>
      <c r="F25" s="9" t="s">
        <v>21</v>
      </c>
      <c r="G25" s="9" t="s">
        <v>22</v>
      </c>
    </row>
    <row r="26" spans="1:7">
      <c r="A26" s="8"/>
      <c r="B26" s="8" t="s">
        <v>23</v>
      </c>
      <c r="C26" s="8">
        <v>0</v>
      </c>
      <c r="D26" s="8">
        <v>3600</v>
      </c>
      <c r="E26" s="8">
        <v>-1E+30</v>
      </c>
      <c r="F26" s="8">
        <v>3600</v>
      </c>
      <c r="G26" s="8">
        <v>0</v>
      </c>
    </row>
    <row r="27" spans="1:7">
      <c r="A27" s="8"/>
      <c r="B27" s="8" t="s">
        <v>24</v>
      </c>
      <c r="C27" s="8">
        <v>0</v>
      </c>
      <c r="D27" s="8">
        <v>36000</v>
      </c>
      <c r="E27" s="8">
        <v>-1E+30</v>
      </c>
      <c r="F27" s="8">
        <v>36000</v>
      </c>
      <c r="G27" s="8">
        <v>0</v>
      </c>
    </row>
    <row r="28" spans="1:7">
      <c r="A28" s="8"/>
      <c r="B28" s="8" t="s">
        <v>25</v>
      </c>
      <c r="C28" s="8">
        <v>0</v>
      </c>
      <c r="D28" s="8">
        <v>1380.0000000000002</v>
      </c>
      <c r="E28" s="8">
        <v>900</v>
      </c>
      <c r="F28" s="8">
        <v>1E+30</v>
      </c>
      <c r="G28" s="8">
        <v>-480.00000000000023</v>
      </c>
    </row>
    <row r="29" spans="1:7">
      <c r="A29" s="8"/>
      <c r="B29" s="8" t="s">
        <v>15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</row>
    <row r="30" spans="1:7">
      <c r="A30" s="8"/>
      <c r="B30" s="8" t="s">
        <v>17</v>
      </c>
      <c r="C30" s="8">
        <v>0</v>
      </c>
      <c r="D30" s="8">
        <v>-402.00000000000057</v>
      </c>
      <c r="E30" s="8">
        <v>-1E+30</v>
      </c>
      <c r="F30" s="8">
        <v>0</v>
      </c>
      <c r="G30" s="8">
        <v>402.00000000000057</v>
      </c>
    </row>
    <row r="31" spans="1:7">
      <c r="A31" s="10"/>
      <c r="B31" s="10" t="s">
        <v>16</v>
      </c>
      <c r="C31" s="10">
        <v>0</v>
      </c>
      <c r="D31" s="10">
        <v>540.00000000000045</v>
      </c>
      <c r="E31" s="10">
        <v>0</v>
      </c>
      <c r="F31" s="10">
        <v>1E+30</v>
      </c>
      <c r="G31" s="10">
        <v>-540.00000000000045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F230-138D-4FE8-9B21-8BF21DA96DEF}">
  <dimension ref="A1:G31"/>
  <sheetViews>
    <sheetView topLeftCell="A15" workbookViewId="0"/>
  </sheetViews>
  <sheetFormatPr defaultRowHeight="15"/>
  <cols>
    <col min="4" max="4" width="13.5703125" bestFit="1" customWidth="1"/>
    <col min="7" max="7" width="14.28515625" bestFit="1" customWidth="1"/>
  </cols>
  <sheetData>
    <row r="1" spans="1:4">
      <c r="A1" s="7" t="s">
        <v>0</v>
      </c>
    </row>
    <row r="2" spans="1:4">
      <c r="A2" s="7" t="s">
        <v>1</v>
      </c>
    </row>
    <row r="3" spans="1:4">
      <c r="A3" s="7" t="s">
        <v>26</v>
      </c>
    </row>
    <row r="4" spans="1:4">
      <c r="A4" s="7" t="s">
        <v>3</v>
      </c>
    </row>
    <row r="5" spans="1:4">
      <c r="A5" s="7" t="s">
        <v>4</v>
      </c>
    </row>
    <row r="6" spans="1:4">
      <c r="A6" s="7" t="s">
        <v>5</v>
      </c>
    </row>
    <row r="7" spans="1:4">
      <c r="A7" s="7" t="s">
        <v>27</v>
      </c>
    </row>
    <row r="8" spans="1:4">
      <c r="A8" s="7" t="s">
        <v>28</v>
      </c>
    </row>
    <row r="9" spans="1:4">
      <c r="A9" s="7" t="s">
        <v>29</v>
      </c>
    </row>
    <row r="12" spans="1:4">
      <c r="A12" s="12" t="s">
        <v>9</v>
      </c>
      <c r="B12" s="12"/>
      <c r="C12" s="12"/>
      <c r="D12" s="12"/>
    </row>
    <row r="13" spans="1:4">
      <c r="A13" s="30"/>
      <c r="B13" s="30" t="s">
        <v>10</v>
      </c>
      <c r="C13" s="30" t="s">
        <v>11</v>
      </c>
      <c r="D13" s="30" t="s">
        <v>12</v>
      </c>
    </row>
    <row r="14" spans="1:4">
      <c r="A14" s="10"/>
      <c r="B14" s="11" t="s">
        <v>13</v>
      </c>
      <c r="C14" s="10">
        <v>83040</v>
      </c>
      <c r="D14" s="10">
        <v>83440</v>
      </c>
    </row>
    <row r="17" spans="1:7">
      <c r="A17" s="12" t="s">
        <v>14</v>
      </c>
      <c r="B17" s="12"/>
      <c r="C17" s="12"/>
      <c r="D17" s="12"/>
    </row>
    <row r="18" spans="1:7">
      <c r="A18" s="30"/>
      <c r="B18" s="30" t="s">
        <v>10</v>
      </c>
      <c r="C18" s="30" t="s">
        <v>11</v>
      </c>
      <c r="D18" s="30" t="s">
        <v>12</v>
      </c>
    </row>
    <row r="19" spans="1:7">
      <c r="A19" s="29"/>
      <c r="B19" s="29" t="s">
        <v>15</v>
      </c>
      <c r="C19" s="29">
        <v>552.00000000000011</v>
      </c>
      <c r="D19" s="29">
        <v>572.00000000000011</v>
      </c>
    </row>
    <row r="20" spans="1:7">
      <c r="A20" s="29"/>
      <c r="B20" s="29" t="s">
        <v>16</v>
      </c>
      <c r="C20" s="29">
        <v>816.00000000000057</v>
      </c>
      <c r="D20" s="29">
        <v>858</v>
      </c>
    </row>
    <row r="21" spans="1:7">
      <c r="A21" s="29"/>
      <c r="B21" s="29" t="s">
        <v>17</v>
      </c>
      <c r="C21" s="29">
        <v>11.999999999999545</v>
      </c>
      <c r="D21" s="29">
        <v>0</v>
      </c>
    </row>
    <row r="22" spans="1:7">
      <c r="A22" s="10"/>
      <c r="B22" s="10" t="s">
        <v>18</v>
      </c>
      <c r="C22" s="10">
        <v>0</v>
      </c>
      <c r="D22" s="10">
        <v>19.666666666666703</v>
      </c>
    </row>
    <row r="24" spans="1:7">
      <c r="A24" s="12" t="s">
        <v>19</v>
      </c>
      <c r="B24" s="12"/>
      <c r="C24" s="12"/>
      <c r="D24" s="12"/>
      <c r="E24" s="12"/>
      <c r="F24" s="12"/>
      <c r="G24" s="12"/>
    </row>
    <row r="25" spans="1:7">
      <c r="A25" s="30"/>
      <c r="B25" s="30" t="s">
        <v>10</v>
      </c>
      <c r="C25" s="30" t="s">
        <v>11</v>
      </c>
      <c r="D25" s="30" t="s">
        <v>12</v>
      </c>
      <c r="E25" s="30" t="s">
        <v>20</v>
      </c>
      <c r="F25" s="30" t="s">
        <v>21</v>
      </c>
      <c r="G25" s="30" t="s">
        <v>22</v>
      </c>
    </row>
    <row r="26" spans="1:7">
      <c r="A26" s="29"/>
      <c r="B26" s="29" t="s">
        <v>23</v>
      </c>
      <c r="C26" s="29">
        <v>3600</v>
      </c>
      <c r="D26" s="29">
        <v>3718</v>
      </c>
      <c r="E26" s="29">
        <v>-1E+30</v>
      </c>
      <c r="F26" s="29">
        <v>4000</v>
      </c>
      <c r="G26" s="29">
        <v>282</v>
      </c>
    </row>
    <row r="27" spans="1:7">
      <c r="A27" s="29"/>
      <c r="B27" s="29" t="s">
        <v>24</v>
      </c>
      <c r="C27" s="29">
        <v>36000</v>
      </c>
      <c r="D27" s="29">
        <v>36000</v>
      </c>
      <c r="E27" s="29">
        <v>-1E+30</v>
      </c>
      <c r="F27" s="29">
        <v>36000</v>
      </c>
      <c r="G27" s="29">
        <v>0</v>
      </c>
    </row>
    <row r="28" spans="1:7">
      <c r="A28" s="29"/>
      <c r="B28" s="29" t="s">
        <v>25</v>
      </c>
      <c r="C28" s="29">
        <v>1380.0000000000002</v>
      </c>
      <c r="D28" s="29">
        <v>1430</v>
      </c>
      <c r="E28" s="29">
        <v>900</v>
      </c>
      <c r="F28" s="29">
        <v>1E+30</v>
      </c>
      <c r="G28" s="29">
        <v>-530</v>
      </c>
    </row>
    <row r="29" spans="1:7">
      <c r="A29" s="29"/>
      <c r="B29" s="29" t="s">
        <v>15</v>
      </c>
      <c r="C29" s="29">
        <v>0</v>
      </c>
      <c r="D29" s="29">
        <v>1.1368683772161603E-13</v>
      </c>
      <c r="E29" s="29">
        <v>0</v>
      </c>
      <c r="F29" s="29">
        <v>0</v>
      </c>
      <c r="G29" s="29">
        <v>-1.1368683772161603E-13</v>
      </c>
    </row>
    <row r="30" spans="1:7">
      <c r="A30" s="29"/>
      <c r="B30" s="29" t="s">
        <v>17</v>
      </c>
      <c r="C30" s="29">
        <v>-402.00000000000057</v>
      </c>
      <c r="D30" s="29">
        <v>-429.00000000000006</v>
      </c>
      <c r="E30" s="29">
        <v>-1E+30</v>
      </c>
      <c r="F30" s="29">
        <v>0</v>
      </c>
      <c r="G30" s="29">
        <v>429.00000000000006</v>
      </c>
    </row>
    <row r="31" spans="1:7">
      <c r="A31" s="10"/>
      <c r="B31" s="10" t="s">
        <v>16</v>
      </c>
      <c r="C31" s="10">
        <v>540.00000000000045</v>
      </c>
      <c r="D31" s="10">
        <v>572</v>
      </c>
      <c r="E31" s="10">
        <v>0</v>
      </c>
      <c r="F31" s="10">
        <v>1E+30</v>
      </c>
      <c r="G31" s="10">
        <v>-572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DD1B-DCEA-4B8E-BF21-A79ED1C2CFEA}">
  <dimension ref="A1:G32"/>
  <sheetViews>
    <sheetView workbookViewId="0"/>
  </sheetViews>
  <sheetFormatPr defaultRowHeight="15"/>
  <sheetData>
    <row r="1" spans="1:4">
      <c r="A1" s="7" t="s">
        <v>0</v>
      </c>
    </row>
    <row r="2" spans="1:4">
      <c r="A2" s="7" t="s">
        <v>1</v>
      </c>
    </row>
    <row r="3" spans="1:4">
      <c r="A3" s="7" t="s">
        <v>30</v>
      </c>
    </row>
    <row r="4" spans="1:4">
      <c r="A4" s="7" t="s">
        <v>3</v>
      </c>
    </row>
    <row r="5" spans="1:4">
      <c r="A5" s="7" t="s">
        <v>4</v>
      </c>
    </row>
    <row r="6" spans="1:4">
      <c r="A6" s="7" t="s">
        <v>31</v>
      </c>
    </row>
    <row r="7" spans="1:4">
      <c r="A7" s="7" t="s">
        <v>32</v>
      </c>
    </row>
    <row r="8" spans="1:4">
      <c r="A8" s="7" t="s">
        <v>7</v>
      </c>
    </row>
    <row r="9" spans="1:4">
      <c r="A9" s="7" t="s">
        <v>29</v>
      </c>
    </row>
    <row r="12" spans="1:4">
      <c r="A12" s="12" t="s">
        <v>9</v>
      </c>
      <c r="B12" s="12"/>
      <c r="C12" s="12"/>
      <c r="D12" s="12"/>
    </row>
    <row r="13" spans="1:4">
      <c r="A13" s="30"/>
      <c r="B13" s="30" t="s">
        <v>10</v>
      </c>
      <c r="C13" s="30" t="s">
        <v>11</v>
      </c>
      <c r="D13" s="30" t="s">
        <v>12</v>
      </c>
    </row>
    <row r="14" spans="1:4">
      <c r="A14" s="10"/>
      <c r="B14" s="11" t="s">
        <v>13</v>
      </c>
      <c r="C14" s="10">
        <v>83040</v>
      </c>
      <c r="D14" s="10">
        <v>83205</v>
      </c>
    </row>
    <row r="17" spans="1:7">
      <c r="A17" s="12" t="s">
        <v>14</v>
      </c>
      <c r="B17" s="12"/>
      <c r="C17" s="12"/>
      <c r="D17" s="12"/>
    </row>
    <row r="18" spans="1:7">
      <c r="A18" s="30"/>
      <c r="B18" s="30" t="s">
        <v>10</v>
      </c>
      <c r="C18" s="30" t="s">
        <v>11</v>
      </c>
      <c r="D18" s="30" t="s">
        <v>12</v>
      </c>
    </row>
    <row r="19" spans="1:7">
      <c r="A19" s="29"/>
      <c r="B19" s="29" t="s">
        <v>15</v>
      </c>
      <c r="C19" s="29">
        <v>552.00000000000011</v>
      </c>
      <c r="D19" s="29">
        <v>477</v>
      </c>
    </row>
    <row r="20" spans="1:7">
      <c r="A20" s="29"/>
      <c r="B20" s="29" t="s">
        <v>16</v>
      </c>
      <c r="C20" s="29">
        <v>816.00000000000057</v>
      </c>
      <c r="D20" s="29">
        <v>882</v>
      </c>
    </row>
    <row r="21" spans="1:7">
      <c r="A21" s="29"/>
      <c r="B21" s="29" t="s">
        <v>17</v>
      </c>
      <c r="C21" s="29">
        <v>11.999999999999545</v>
      </c>
      <c r="D21" s="29">
        <v>0</v>
      </c>
    </row>
    <row r="22" spans="1:7">
      <c r="A22" s="10"/>
      <c r="B22" s="10" t="s">
        <v>18</v>
      </c>
      <c r="C22" s="10">
        <v>0</v>
      </c>
      <c r="D22" s="10">
        <v>0</v>
      </c>
    </row>
    <row r="24" spans="1:7">
      <c r="A24" s="12" t="s">
        <v>19</v>
      </c>
      <c r="B24" s="12"/>
      <c r="C24" s="12"/>
      <c r="D24" s="12"/>
      <c r="E24" s="12"/>
      <c r="F24" s="12"/>
      <c r="G24" s="12"/>
    </row>
    <row r="25" spans="1:7">
      <c r="A25" s="30"/>
      <c r="B25" s="30" t="s">
        <v>10</v>
      </c>
      <c r="C25" s="30" t="s">
        <v>11</v>
      </c>
      <c r="D25" s="30" t="s">
        <v>12</v>
      </c>
      <c r="E25" s="30" t="s">
        <v>20</v>
      </c>
      <c r="F25" s="30" t="s">
        <v>21</v>
      </c>
      <c r="G25" s="30" t="s">
        <v>22</v>
      </c>
    </row>
    <row r="26" spans="1:7">
      <c r="A26" s="29"/>
      <c r="B26" s="29" t="s">
        <v>23</v>
      </c>
      <c r="C26" s="29">
        <v>3600</v>
      </c>
      <c r="D26" s="29">
        <v>3600</v>
      </c>
      <c r="E26" s="29">
        <v>-1E+30</v>
      </c>
      <c r="F26" s="29">
        <v>3600</v>
      </c>
      <c r="G26" s="29">
        <v>0</v>
      </c>
    </row>
    <row r="27" spans="1:7">
      <c r="A27" s="29"/>
      <c r="B27" s="29" t="s">
        <v>24</v>
      </c>
      <c r="C27" s="29">
        <v>36000</v>
      </c>
      <c r="D27" s="29">
        <v>36000</v>
      </c>
      <c r="E27" s="29">
        <v>-1E+30</v>
      </c>
      <c r="F27" s="29">
        <v>36000</v>
      </c>
      <c r="G27" s="29">
        <v>0</v>
      </c>
    </row>
    <row r="28" spans="1:7">
      <c r="A28" s="29"/>
      <c r="B28" s="29" t="s">
        <v>25</v>
      </c>
      <c r="C28" s="29">
        <v>1380.0000000000002</v>
      </c>
      <c r="D28" s="29">
        <v>1359</v>
      </c>
      <c r="E28" s="29">
        <v>900</v>
      </c>
      <c r="F28" s="29">
        <v>1E+30</v>
      </c>
      <c r="G28" s="29">
        <v>-459</v>
      </c>
    </row>
    <row r="29" spans="1:7">
      <c r="A29" s="29"/>
      <c r="B29" s="29" t="s">
        <v>15</v>
      </c>
      <c r="C29" s="29">
        <v>69</v>
      </c>
      <c r="D29" s="29">
        <v>1.3499999999999659</v>
      </c>
      <c r="E29" s="29">
        <v>0</v>
      </c>
      <c r="F29" s="29">
        <v>1E+30</v>
      </c>
      <c r="G29" s="29">
        <v>-1.3499999999999659</v>
      </c>
    </row>
    <row r="30" spans="1:7">
      <c r="A30" s="29"/>
      <c r="B30" s="29" t="s">
        <v>17</v>
      </c>
      <c r="C30" s="29">
        <v>-402.00000000000057</v>
      </c>
      <c r="D30" s="29">
        <v>-407.70000000000005</v>
      </c>
      <c r="E30" s="29">
        <v>-1E+30</v>
      </c>
      <c r="F30" s="29">
        <v>0</v>
      </c>
      <c r="G30" s="29">
        <v>407.70000000000005</v>
      </c>
    </row>
    <row r="31" spans="1:7">
      <c r="A31" s="29"/>
      <c r="B31" s="29" t="s">
        <v>16</v>
      </c>
      <c r="C31" s="29">
        <v>540.00000000000045</v>
      </c>
      <c r="D31" s="29">
        <v>610.20000000000005</v>
      </c>
      <c r="E31" s="29">
        <v>0</v>
      </c>
      <c r="F31" s="29">
        <v>1E+30</v>
      </c>
      <c r="G31" s="29">
        <v>-610.20000000000005</v>
      </c>
    </row>
    <row r="32" spans="1:7">
      <c r="A32" s="10"/>
      <c r="B32" s="10" t="s">
        <v>15</v>
      </c>
      <c r="C32" s="10">
        <v>-69</v>
      </c>
      <c r="D32" s="10">
        <v>-134.55000000000007</v>
      </c>
      <c r="E32" s="10">
        <v>-1E+30</v>
      </c>
      <c r="F32" s="10">
        <v>0</v>
      </c>
      <c r="G32" s="10">
        <v>134.55000000000007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A01E-53FC-40D7-9EA6-97420E6D6D81}">
  <dimension ref="A1:G32"/>
  <sheetViews>
    <sheetView workbookViewId="0">
      <selection activeCell="I21" sqref="I21"/>
    </sheetView>
  </sheetViews>
  <sheetFormatPr defaultRowHeight="15"/>
  <sheetData>
    <row r="1" spans="1:4">
      <c r="A1" s="7" t="s">
        <v>0</v>
      </c>
    </row>
    <row r="2" spans="1:4">
      <c r="A2" s="7" t="s">
        <v>1</v>
      </c>
    </row>
    <row r="3" spans="1:4">
      <c r="A3" s="7" t="s">
        <v>33</v>
      </c>
    </row>
    <row r="4" spans="1:4">
      <c r="A4" s="7" t="s">
        <v>3</v>
      </c>
    </row>
    <row r="5" spans="1:4">
      <c r="A5" s="7" t="s">
        <v>4</v>
      </c>
    </row>
    <row r="6" spans="1:4">
      <c r="A6" s="7" t="s">
        <v>34</v>
      </c>
    </row>
    <row r="7" spans="1:4">
      <c r="A7" s="7" t="s">
        <v>32</v>
      </c>
    </row>
    <row r="8" spans="1:4">
      <c r="A8" s="7" t="s">
        <v>7</v>
      </c>
    </row>
    <row r="9" spans="1:4">
      <c r="A9" s="7" t="s">
        <v>29</v>
      </c>
    </row>
    <row r="12" spans="1:4">
      <c r="A12" s="12" t="s">
        <v>9</v>
      </c>
      <c r="B12" s="12"/>
      <c r="C12" s="12"/>
      <c r="D12" s="12"/>
    </row>
    <row r="13" spans="1:4">
      <c r="A13" s="30"/>
      <c r="B13" s="30" t="s">
        <v>10</v>
      </c>
      <c r="C13" s="30" t="s">
        <v>11</v>
      </c>
      <c r="D13" s="30" t="s">
        <v>12</v>
      </c>
    </row>
    <row r="14" spans="1:4">
      <c r="A14" s="10"/>
      <c r="B14" s="11" t="s">
        <v>13</v>
      </c>
      <c r="C14" s="10">
        <v>83205</v>
      </c>
      <c r="D14" s="10">
        <v>83205</v>
      </c>
    </row>
    <row r="17" spans="1:7">
      <c r="A17" s="12" t="s">
        <v>14</v>
      </c>
      <c r="B17" s="12"/>
      <c r="C17" s="12"/>
      <c r="D17" s="12"/>
    </row>
    <row r="18" spans="1:7">
      <c r="A18" s="30"/>
      <c r="B18" s="30" t="s">
        <v>10</v>
      </c>
      <c r="C18" s="30" t="s">
        <v>11</v>
      </c>
      <c r="D18" s="30" t="s">
        <v>12</v>
      </c>
    </row>
    <row r="19" spans="1:7">
      <c r="A19" s="29"/>
      <c r="B19" s="29" t="s">
        <v>15</v>
      </c>
      <c r="C19" s="29">
        <v>477</v>
      </c>
      <c r="D19" s="29">
        <v>477</v>
      </c>
    </row>
    <row r="20" spans="1:7">
      <c r="A20" s="29"/>
      <c r="B20" s="29" t="s">
        <v>16</v>
      </c>
      <c r="C20" s="29">
        <v>882</v>
      </c>
      <c r="D20" s="29">
        <v>882</v>
      </c>
    </row>
    <row r="21" spans="1:7">
      <c r="A21" s="29"/>
      <c r="B21" s="29" t="s">
        <v>17</v>
      </c>
      <c r="C21" s="29">
        <v>0</v>
      </c>
      <c r="D21" s="29">
        <v>0</v>
      </c>
    </row>
    <row r="22" spans="1:7">
      <c r="A22" s="10"/>
      <c r="B22" s="10" t="s">
        <v>18</v>
      </c>
      <c r="C22" s="10">
        <v>0</v>
      </c>
      <c r="D22" s="10">
        <v>0</v>
      </c>
    </row>
    <row r="24" spans="1:7">
      <c r="A24" s="12" t="s">
        <v>19</v>
      </c>
      <c r="B24" s="12"/>
      <c r="C24" s="12"/>
      <c r="D24" s="12"/>
      <c r="E24" s="12"/>
      <c r="F24" s="12"/>
      <c r="G24" s="12"/>
    </row>
    <row r="25" spans="1:7">
      <c r="A25" s="30"/>
      <c r="B25" s="30" t="s">
        <v>10</v>
      </c>
      <c r="C25" s="30" t="s">
        <v>11</v>
      </c>
      <c r="D25" s="30" t="s">
        <v>12</v>
      </c>
      <c r="E25" s="30" t="s">
        <v>20</v>
      </c>
      <c r="F25" s="30" t="s">
        <v>21</v>
      </c>
      <c r="G25" s="30" t="s">
        <v>22</v>
      </c>
    </row>
    <row r="26" spans="1:7">
      <c r="A26" s="29"/>
      <c r="B26" s="29" t="s">
        <v>23</v>
      </c>
      <c r="C26" s="29">
        <v>3600</v>
      </c>
      <c r="D26" s="29">
        <v>3600</v>
      </c>
      <c r="E26" s="29">
        <v>-1E+30</v>
      </c>
      <c r="F26" s="29">
        <v>3600</v>
      </c>
      <c r="G26" s="29">
        <v>0</v>
      </c>
    </row>
    <row r="27" spans="1:7">
      <c r="A27" s="29"/>
      <c r="B27" s="29" t="s">
        <v>24</v>
      </c>
      <c r="C27" s="29">
        <v>36000</v>
      </c>
      <c r="D27" s="29">
        <v>36000</v>
      </c>
      <c r="E27" s="29">
        <v>-1E+30</v>
      </c>
      <c r="F27" s="29">
        <v>36000</v>
      </c>
      <c r="G27" s="29">
        <v>0</v>
      </c>
    </row>
    <row r="28" spans="1:7">
      <c r="A28" s="29"/>
      <c r="B28" s="29" t="s">
        <v>25</v>
      </c>
      <c r="C28" s="29">
        <v>1359</v>
      </c>
      <c r="D28" s="29">
        <v>1359</v>
      </c>
      <c r="E28" s="29">
        <v>900</v>
      </c>
      <c r="F28" s="29">
        <v>1E+30</v>
      </c>
      <c r="G28" s="29">
        <v>-459</v>
      </c>
    </row>
    <row r="29" spans="1:7">
      <c r="A29" s="29"/>
      <c r="B29" s="29" t="s">
        <v>15</v>
      </c>
      <c r="C29" s="29">
        <v>1.3499999999999659</v>
      </c>
      <c r="D29" s="29">
        <v>1.3499999999999659</v>
      </c>
      <c r="E29" s="29">
        <v>0</v>
      </c>
      <c r="F29" s="29">
        <v>1E+30</v>
      </c>
      <c r="G29" s="29">
        <v>-1.3499999999999659</v>
      </c>
    </row>
    <row r="30" spans="1:7">
      <c r="A30" s="29"/>
      <c r="B30" s="29" t="s">
        <v>17</v>
      </c>
      <c r="C30" s="29">
        <v>-407.70000000000005</v>
      </c>
      <c r="D30" s="29">
        <v>-407.70000000000005</v>
      </c>
      <c r="E30" s="29">
        <v>-1E+30</v>
      </c>
      <c r="F30" s="29">
        <v>0</v>
      </c>
      <c r="G30" s="29">
        <v>407.70000000000005</v>
      </c>
    </row>
    <row r="31" spans="1:7">
      <c r="A31" s="29"/>
      <c r="B31" s="29" t="s">
        <v>16</v>
      </c>
      <c r="C31" s="29">
        <v>610.20000000000005</v>
      </c>
      <c r="D31" s="29">
        <v>610.20000000000005</v>
      </c>
      <c r="E31" s="29">
        <v>0</v>
      </c>
      <c r="F31" s="29">
        <v>1E+30</v>
      </c>
      <c r="G31" s="29">
        <v>-610.20000000000005</v>
      </c>
    </row>
    <row r="32" spans="1:7">
      <c r="A32" s="10"/>
      <c r="B32" s="10" t="s">
        <v>15</v>
      </c>
      <c r="C32" s="10">
        <v>-134.55000000000007</v>
      </c>
      <c r="D32" s="10">
        <v>-134.55000000000007</v>
      </c>
      <c r="E32" s="10">
        <v>-1E+30</v>
      </c>
      <c r="F32" s="10">
        <v>0</v>
      </c>
      <c r="G32" s="10">
        <v>134.55000000000007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B6" sqref="B6"/>
    </sheetView>
  </sheetViews>
  <sheetFormatPr defaultRowHeight="15"/>
  <cols>
    <col min="2" max="2" width="9.28515625" bestFit="1" customWidth="1"/>
  </cols>
  <sheetData>
    <row r="1" spans="1:13">
      <c r="E1" s="14" t="s">
        <v>35</v>
      </c>
      <c r="F1" s="31"/>
      <c r="G1" s="31"/>
      <c r="H1" s="31"/>
      <c r="I1" s="31"/>
      <c r="J1" s="31"/>
      <c r="K1" s="31"/>
      <c r="L1" s="31"/>
      <c r="M1" s="32"/>
    </row>
    <row r="2" spans="1:13">
      <c r="E2" s="33"/>
      <c r="F2" s="34"/>
      <c r="G2" s="34"/>
      <c r="H2" s="34"/>
      <c r="I2" s="34"/>
      <c r="J2" s="34"/>
      <c r="K2" s="34"/>
      <c r="L2" s="34"/>
      <c r="M2" s="35"/>
    </row>
    <row r="3" spans="1:13">
      <c r="E3" s="36"/>
      <c r="F3" s="37"/>
      <c r="G3" s="37"/>
      <c r="H3" s="37"/>
      <c r="I3" s="37"/>
      <c r="J3" s="37"/>
      <c r="K3" s="37"/>
      <c r="L3" s="37"/>
      <c r="M3" s="38"/>
    </row>
    <row r="5" spans="1:13">
      <c r="A5" s="13" t="s">
        <v>36</v>
      </c>
      <c r="B5" s="3" t="s">
        <v>37</v>
      </c>
      <c r="C5" s="3" t="s">
        <v>38</v>
      </c>
      <c r="D5" s="3" t="s">
        <v>39</v>
      </c>
      <c r="E5" s="21" t="s">
        <v>40</v>
      </c>
      <c r="F5" s="25"/>
    </row>
    <row r="6" spans="1:13">
      <c r="A6" s="1" t="s">
        <v>41</v>
      </c>
      <c r="B6" s="2">
        <v>477</v>
      </c>
      <c r="C6" s="2">
        <v>45</v>
      </c>
      <c r="D6" s="5">
        <v>2</v>
      </c>
      <c r="E6" s="21">
        <v>20</v>
      </c>
      <c r="F6" s="25"/>
    </row>
    <row r="7" spans="1:13">
      <c r="A7" s="1" t="s">
        <v>42</v>
      </c>
      <c r="B7" s="2">
        <v>882</v>
      </c>
      <c r="C7" s="2">
        <v>70</v>
      </c>
      <c r="D7" s="5">
        <v>3</v>
      </c>
      <c r="E7" s="21">
        <v>30</v>
      </c>
      <c r="F7" s="25"/>
    </row>
    <row r="8" spans="1:13">
      <c r="A8" s="15" t="s">
        <v>43</v>
      </c>
      <c r="B8" s="4">
        <v>0</v>
      </c>
      <c r="C8" s="4">
        <v>90</v>
      </c>
      <c r="D8" s="6">
        <v>4</v>
      </c>
      <c r="E8" s="21">
        <v>40</v>
      </c>
      <c r="F8" s="25"/>
    </row>
    <row r="9" spans="1:13">
      <c r="A9" s="16" t="s">
        <v>44</v>
      </c>
      <c r="B9" s="16">
        <v>0</v>
      </c>
      <c r="C9" s="16">
        <v>-120</v>
      </c>
      <c r="D9" s="26">
        <v>0</v>
      </c>
      <c r="E9" s="21">
        <v>-60</v>
      </c>
      <c r="F9" s="25"/>
    </row>
    <row r="10" spans="1:13" ht="15" customHeight="1">
      <c r="B10" s="23"/>
      <c r="C10" s="23"/>
      <c r="D10" s="23"/>
      <c r="E10" s="23"/>
      <c r="F10" s="27"/>
    </row>
    <row r="11" spans="1:13" ht="15.75">
      <c r="A11" s="22" t="s">
        <v>45</v>
      </c>
      <c r="B11" s="19">
        <f>SUM(B6:B8)</f>
        <v>1359</v>
      </c>
      <c r="C11" s="18">
        <f>SUMPRODUCT(B6:B9,C6:C9)</f>
        <v>83205</v>
      </c>
      <c r="D11" s="17">
        <f>SUMPRODUCT(B6:B9,D6:D9)</f>
        <v>3600</v>
      </c>
      <c r="E11" s="20">
        <f>SUMPRODUCT(B6:B9,E6:E9)</f>
        <v>36000</v>
      </c>
      <c r="F11" s="28"/>
    </row>
    <row r="12" spans="1:13">
      <c r="A12" s="16" t="s">
        <v>46</v>
      </c>
      <c r="B12" s="16" t="s">
        <v>47</v>
      </c>
      <c r="C12" s="16"/>
      <c r="D12" s="16">
        <v>3600</v>
      </c>
      <c r="E12" s="24">
        <v>36000</v>
      </c>
      <c r="F12" s="25"/>
    </row>
  </sheetData>
  <mergeCells count="1">
    <mergeCell ref="E1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2026-10-05T22:34:20Z</dcterms:created>
  <dcterms:modified xsi:type="dcterms:W3CDTF">2026-10-06T00:16:05Z</dcterms:modified>
  <cp:category/>
  <cp:contentStatus/>
</cp:coreProperties>
</file>