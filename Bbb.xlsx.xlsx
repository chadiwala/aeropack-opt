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49E97295-D51B-4D12-A1C9-C147D8F8DFB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ensitivity Report" sheetId="3" r:id="rId1"/>
    <sheet name="Answer Report" sheetId="2" r:id="rId2"/>
    <sheet name="Sheet1" sheetId="1" r:id="rId3"/>
  </sheets>
  <definedNames>
    <definedName name="solver_adj" localSheetId="2" hidden="1">Sheet1!$B$6:$B$9</definedName>
    <definedName name="solver_eng" localSheetId="0" hidden="1">0</definedName>
    <definedName name="solver_eng" localSheetId="1" hidden="1">0</definedName>
    <definedName name="solver_eng" localSheetId="2" hidden="1">0</definedName>
    <definedName name="solver_lhs1" localSheetId="2" hidden="1">Sheet1!$D$11</definedName>
    <definedName name="solver_lhs10" localSheetId="2" hidden="1">Sheet1!$B$6</definedName>
    <definedName name="solver_lhs2" localSheetId="2" hidden="1">Sheet1!$E$11</definedName>
    <definedName name="solver_lhs3" localSheetId="2" hidden="1">Sheet1!$B$9</definedName>
    <definedName name="solver_lhs4" localSheetId="2" hidden="1">Sheet1!$B$11</definedName>
    <definedName name="solver_lhs5" localSheetId="2" hidden="1">Sheet1!$B$6</definedName>
    <definedName name="solver_lhs6" localSheetId="2" hidden="1">Sheet1!$B$8</definedName>
    <definedName name="solver_lhs7" localSheetId="2" hidden="1">Sheet1!$B$7</definedName>
    <definedName name="solver_lhs8" localSheetId="2" hidden="1">Sheet1!$B$7</definedName>
    <definedName name="solver_lhs9" localSheetId="2" hidden="1">Sheet1!$B$6</definedName>
    <definedName name="solver_neg" localSheetId="2" hidden="1">1</definedName>
    <definedName name="solver_num" localSheetId="2" hidden="1">9</definedName>
    <definedName name="solver_opt" localSheetId="2" hidden="1">Sheet1!$C$11</definedName>
    <definedName name="solver_rel1" localSheetId="2" hidden="1">1</definedName>
    <definedName name="solver_rel10" localSheetId="2" hidden="1">1</definedName>
    <definedName name="solver_rel2" localSheetId="2" hidden="1">1</definedName>
    <definedName name="solver_rel3" localSheetId="2" hidden="1">1</definedName>
    <definedName name="solver_rel4" localSheetId="2" hidden="1">3</definedName>
    <definedName name="solver_rel5" localSheetId="2" hidden="1">3</definedName>
    <definedName name="solver_rel6" localSheetId="2" hidden="1">1</definedName>
    <definedName name="solver_rel7" localSheetId="2" hidden="1">3</definedName>
    <definedName name="solver_rel8" localSheetId="2" hidden="1">3</definedName>
    <definedName name="solver_rel9" localSheetId="2" hidden="1">1</definedName>
    <definedName name="solver_rhs1" localSheetId="2" hidden="1">Sheet1!$D$12</definedName>
    <definedName name="solver_rhs10" localSheetId="2" hidden="1">"0.45*B11"</definedName>
    <definedName name="solver_rhs2" localSheetId="2" hidden="1">36000</definedName>
    <definedName name="solver_rhs3" localSheetId="2" hidden="1">20</definedName>
    <definedName name="solver_rhs4" localSheetId="2" hidden="1">900</definedName>
    <definedName name="solver_rhs5" localSheetId="2" hidden="1">"0.35*B11"</definedName>
    <definedName name="solver_rhs6" localSheetId="2" hidden="1">"0.3*B11"</definedName>
    <definedName name="solver_rhs7" localSheetId="2" hidden="1">"0.2*B11"</definedName>
    <definedName name="solver_rhs8" localSheetId="2" hidden="1">150</definedName>
    <definedName name="solver_rhs9" localSheetId="2" hidden="1">"0.45*B11"</definedName>
    <definedName name="solver_rxc2" localSheetId="2" hidden="1">1</definedName>
    <definedName name="solver_rxc3" localSheetId="2" hidden="1">1</definedName>
    <definedName name="solver_rxc4" localSheetId="2" hidden="1">1</definedName>
    <definedName name="solver_rxc5" localSheetId="2" hidden="1">1</definedName>
    <definedName name="solver_rxc6" localSheetId="2" hidden="1">1</definedName>
    <definedName name="solver_rxc8" localSheetId="2" hidden="1">1</definedName>
    <definedName name="solver_rxv" localSheetId="2" hidden="1">1</definedName>
    <definedName name="solver_typ" localSheetId="2" hidden="1">1</definedName>
    <definedName name="solver_val" localSheetId="2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<sst xmlns="http://schemas.openxmlformats.org/spreadsheetml/2006/main" count="91" uniqueCount="56">
  <si>
    <t>Microsoft Excel Sensitivity Report</t>
  </si>
  <si>
    <t>Worksheet: Answer Report</t>
  </si>
  <si>
    <t>Report Created:Tue Oct 06 2026 00:17:38 GMT+0000 (Greenwich Mean Time)</t>
  </si>
  <si>
    <t>Engine: LP/Quadratic</t>
  </si>
  <si>
    <t>Objective Cell (Max)</t>
  </si>
  <si>
    <t>Cell</t>
  </si>
  <si>
    <t>Original Value</t>
  </si>
  <si>
    <t>Final Value</t>
  </si>
  <si>
    <t>Sheet1'!C11</t>
  </si>
  <si>
    <t>Decision Variable Cells</t>
  </si>
  <si>
    <t>Final</t>
  </si>
  <si>
    <t>Reduced</t>
  </si>
  <si>
    <t>Maximum</t>
  </si>
  <si>
    <t>Minimum</t>
  </si>
  <si>
    <t>Value</t>
  </si>
  <si>
    <t>Cost</t>
  </si>
  <si>
    <t>Objective Coefficient</t>
  </si>
  <si>
    <t>$B$6</t>
  </si>
  <si>
    <t>$B$7</t>
  </si>
  <si>
    <t>$B$8</t>
  </si>
  <si>
    <t>$B$9</t>
  </si>
  <si>
    <t>Constraints</t>
  </si>
  <si>
    <t>Shadow</t>
  </si>
  <si>
    <t>Constraint</t>
  </si>
  <si>
    <t>Allowable</t>
  </si>
  <si>
    <t>Price</t>
  </si>
  <si>
    <t>R.H.Side</t>
  </si>
  <si>
    <t>Increase</t>
  </si>
  <si>
    <t>Decrease</t>
  </si>
  <si>
    <t>$D$11</t>
  </si>
  <si>
    <t>$E$11</t>
  </si>
  <si>
    <t>$B$11</t>
  </si>
  <si>
    <t>Microsoft Excel Answer Report</t>
  </si>
  <si>
    <t>Worksheet: Sheet1</t>
  </si>
  <si>
    <t>Report Created:Tue Oct 06 2026 00:17:37 GMT+0000 (Greenwich Mean Time)</t>
  </si>
  <si>
    <t>Result: Solver found a solution.  All constraints and optimality conditions are satisfied.</t>
  </si>
  <si>
    <t>Solution Time: 1 milliseconds</t>
  </si>
  <si>
    <t>Iterations: 0</t>
  </si>
  <si>
    <t>Subproblems: 0</t>
  </si>
  <si>
    <t>Incumbent Solutions: 0</t>
  </si>
  <si>
    <t>Lower Bound</t>
  </si>
  <si>
    <t>Upper Bound</t>
  </si>
  <si>
    <t>Slack</t>
  </si>
  <si>
    <t>AeroPack production and capacity</t>
  </si>
  <si>
    <t>Bags</t>
  </si>
  <si>
    <t>Quantity</t>
  </si>
  <si>
    <t>Profit($)</t>
  </si>
  <si>
    <t>Fabric(m)</t>
  </si>
  <si>
    <t>Pro-time</t>
  </si>
  <si>
    <t>urban</t>
  </si>
  <si>
    <t>travel</t>
  </si>
  <si>
    <t>executive</t>
  </si>
  <si>
    <t>add-time</t>
  </si>
  <si>
    <t>Total</t>
  </si>
  <si>
    <t>Limit</t>
  </si>
  <si>
    <t>&gt;=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</si>
</sst>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8"/>
      <color rgb="FF305496"/>
      <name val="Calibri"/>
      <scheme val="minor"/>
    </font>
    <font>
      <b/>
      <sz val="8"/>
      <color theme="1"/>
      <name val="Helv"/>
    </font>
    <font>
      <sz val="8"/>
      <color theme="1"/>
      <name val="Helv"/>
    </font>
    <font>
      <b/>
      <sz val="8"/>
      <color rgb="FF0000FF"/>
      <name val="Helv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B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/>
      <top style="double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4" fillId="0" borderId="15" xfId="0" applyFont="1" applyBorder="1"/>
    <xf numFmtId="0" fontId="4" fillId="0" borderId="15" xfId="0" quotePrefix="1" applyFont="1" applyBorder="1"/>
    <xf numFmtId="0" fontId="4" fillId="0" borderId="16" xfId="0" applyFont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6" fillId="3" borderId="17" xfId="0" applyFont="1" applyFill="1" applyBorder="1" applyAlignment="1">
      <alignment horizontal="center" vertical="center"/>
    </xf>
    <xf numFmtId="0" fontId="0" fillId="4" borderId="0" xfId="0" applyFill="1"/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/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3E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02EAF4-969F-481B-B77A-7D0459A6B1F9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95179124122458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9A8B-35AD-4F81-8597-AA5BA5E06088}">
  <dimension ref="A1:G27"/>
  <sheetViews>
    <sheetView workbookViewId="0"/>
  </sheetViews>
  <sheetFormatPr defaultRowHeight="15"/>
  <cols>
    <col min="3" max="3" width="12" bestFit="1" customWidth="1"/>
    <col min="4" max="4" width="11.140625" bestFit="1" customWidth="1"/>
    <col min="5" max="5" width="9.7109375" bestFit="1" customWidth="1"/>
    <col min="6" max="6" width="10.85546875" bestFit="1" customWidth="1"/>
    <col min="7" max="7" width="9.7109375" bestFit="1" customWidth="1"/>
  </cols>
  <sheetData>
    <row r="1" spans="1:6">
      <c r="A1" s="7" t="s">
        <v>0</v>
      </c>
    </row>
    <row r="2" spans="1:6">
      <c r="A2" s="7" t="s">
        <v>1</v>
      </c>
    </row>
    <row r="3" spans="1:6">
      <c r="A3" s="7" t="s">
        <v>2</v>
      </c>
    </row>
    <row r="4" spans="1:6">
      <c r="A4" s="7" t="s">
        <v>3</v>
      </c>
    </row>
    <row r="6" spans="1:6">
      <c r="A6" s="10" t="s">
        <v>4</v>
      </c>
      <c r="B6" s="10"/>
      <c r="C6" s="10"/>
      <c r="D6" s="10"/>
    </row>
    <row r="7" spans="1:6">
      <c r="A7" s="28"/>
      <c r="B7" s="28" t="s">
        <v>5</v>
      </c>
      <c r="C7" s="28" t="s">
        <v>6</v>
      </c>
      <c r="D7" s="28" t="s">
        <v>7</v>
      </c>
    </row>
    <row r="8" spans="1:6">
      <c r="A8" s="8"/>
      <c r="B8" s="9" t="s">
        <v>8</v>
      </c>
      <c r="C8" s="8">
        <v>83207.547169811311</v>
      </c>
      <c r="D8" s="8">
        <v>83207.547169811311</v>
      </c>
    </row>
    <row r="10" spans="1:6">
      <c r="A10" s="10" t="s">
        <v>9</v>
      </c>
      <c r="B10" s="10"/>
      <c r="C10" s="10"/>
      <c r="D10" s="10"/>
      <c r="E10" s="10"/>
      <c r="F10" s="10"/>
    </row>
    <row r="11" spans="1:6">
      <c r="A11" s="28"/>
      <c r="B11" s="28"/>
      <c r="C11" s="28" t="s">
        <v>10</v>
      </c>
      <c r="D11" s="28" t="s">
        <v>11</v>
      </c>
      <c r="E11" s="28" t="s">
        <v>12</v>
      </c>
      <c r="F11" s="28" t="s">
        <v>13</v>
      </c>
    </row>
    <row r="12" spans="1:6">
      <c r="A12" s="28"/>
      <c r="B12" s="28" t="s">
        <v>5</v>
      </c>
      <c r="C12" s="28" t="s">
        <v>14</v>
      </c>
      <c r="D12" s="28" t="s">
        <v>15</v>
      </c>
      <c r="E12" s="28" t="s">
        <v>16</v>
      </c>
      <c r="F12" s="28" t="s">
        <v>16</v>
      </c>
    </row>
    <row r="13" spans="1:6">
      <c r="A13" s="27"/>
      <c r="B13" s="27" t="s">
        <v>17</v>
      </c>
      <c r="C13" s="27">
        <v>475.47169811320759</v>
      </c>
      <c r="D13" s="27">
        <v>0</v>
      </c>
      <c r="E13" s="27">
        <v>46.666666802564102</v>
      </c>
      <c r="F13" s="27">
        <v>21.428570671428599</v>
      </c>
    </row>
    <row r="14" spans="1:6">
      <c r="A14" s="27"/>
      <c r="B14" s="27" t="s">
        <v>18</v>
      </c>
      <c r="C14" s="27">
        <v>883.01886792452819</v>
      </c>
      <c r="D14" s="27">
        <v>0</v>
      </c>
      <c r="E14" s="27">
        <v>1E+30</v>
      </c>
      <c r="F14" s="27">
        <v>67.499999919696975</v>
      </c>
    </row>
    <row r="15" spans="1:6">
      <c r="A15" s="27"/>
      <c r="B15" s="27" t="s">
        <v>19</v>
      </c>
      <c r="C15" s="27">
        <v>0</v>
      </c>
      <c r="D15" s="27">
        <v>-3.1132075471698073</v>
      </c>
      <c r="E15" s="27">
        <v>93.113207547169807</v>
      </c>
      <c r="F15" s="27">
        <v>-1E+30</v>
      </c>
    </row>
    <row r="16" spans="1:6">
      <c r="A16" s="8"/>
      <c r="B16" s="8" t="s">
        <v>20</v>
      </c>
      <c r="C16" s="8">
        <v>0</v>
      </c>
      <c r="D16" s="8">
        <v>-120</v>
      </c>
      <c r="E16" s="8">
        <v>0</v>
      </c>
      <c r="F16" s="8">
        <v>-1E+30</v>
      </c>
    </row>
    <row r="18" spans="1:7">
      <c r="A18" s="10" t="s">
        <v>21</v>
      </c>
      <c r="B18" s="10"/>
      <c r="C18" s="10"/>
      <c r="D18" s="10"/>
      <c r="E18" s="10"/>
      <c r="F18" s="10"/>
      <c r="G18" s="10"/>
    </row>
    <row r="19" spans="1:7">
      <c r="A19" s="28"/>
      <c r="B19" s="28"/>
      <c r="C19" s="28" t="s">
        <v>10</v>
      </c>
      <c r="D19" s="28" t="s">
        <v>22</v>
      </c>
      <c r="E19" s="28" t="s">
        <v>23</v>
      </c>
      <c r="F19" s="28" t="s">
        <v>24</v>
      </c>
      <c r="G19" s="28" t="s">
        <v>24</v>
      </c>
    </row>
    <row r="20" spans="1:7">
      <c r="A20" s="28"/>
      <c r="B20" s="28" t="s">
        <v>5</v>
      </c>
      <c r="C20" s="28" t="s">
        <v>14</v>
      </c>
      <c r="D20" s="28" t="s">
        <v>25</v>
      </c>
      <c r="E20" s="28" t="s">
        <v>26</v>
      </c>
      <c r="F20" s="28" t="s">
        <v>27</v>
      </c>
      <c r="G20" s="28" t="s">
        <v>28</v>
      </c>
    </row>
    <row r="21" spans="1:7">
      <c r="A21" s="27"/>
      <c r="B21" s="27" t="s">
        <v>29</v>
      </c>
      <c r="C21" s="27">
        <v>3599.9999999999995</v>
      </c>
      <c r="D21" s="27">
        <v>23.113207547169811</v>
      </c>
      <c r="E21" s="27">
        <v>3600</v>
      </c>
      <c r="F21" s="27">
        <v>0</v>
      </c>
      <c r="G21" s="27">
        <v>1215</v>
      </c>
    </row>
    <row r="22" spans="1:7">
      <c r="A22" s="27"/>
      <c r="B22" s="27" t="s">
        <v>30</v>
      </c>
      <c r="C22" s="27">
        <v>36000</v>
      </c>
      <c r="D22" s="27">
        <v>0</v>
      </c>
      <c r="E22" s="27">
        <v>36000</v>
      </c>
      <c r="F22" s="27">
        <v>1E+30</v>
      </c>
      <c r="G22" s="27">
        <v>0</v>
      </c>
    </row>
    <row r="23" spans="1:7">
      <c r="A23" s="27"/>
      <c r="B23" s="27" t="s">
        <v>31</v>
      </c>
      <c r="C23" s="27">
        <v>1358.4905660377358</v>
      </c>
      <c r="D23" s="27">
        <v>0</v>
      </c>
      <c r="E23" s="27">
        <v>900</v>
      </c>
      <c r="F23" s="27">
        <v>458.49056603773579</v>
      </c>
      <c r="G23" s="27">
        <v>1E+30</v>
      </c>
    </row>
    <row r="24" spans="1:7">
      <c r="A24" s="27"/>
      <c r="B24" s="27" t="s">
        <v>17</v>
      </c>
      <c r="C24" s="27">
        <v>0</v>
      </c>
      <c r="D24" s="27">
        <v>-1.8867924528301876</v>
      </c>
      <c r="E24" s="27">
        <v>0</v>
      </c>
      <c r="F24" s="27">
        <v>141.17647058823522</v>
      </c>
      <c r="G24" s="27">
        <v>420.00000000000006</v>
      </c>
    </row>
    <row r="25" spans="1:7">
      <c r="A25" s="27"/>
      <c r="B25" s="27" t="s">
        <v>19</v>
      </c>
      <c r="C25" s="27">
        <v>-407.54716981132077</v>
      </c>
      <c r="D25" s="27">
        <v>0</v>
      </c>
      <c r="E25" s="27">
        <v>0</v>
      </c>
      <c r="F25" s="27">
        <v>1E+30</v>
      </c>
      <c r="G25" s="27">
        <v>407.54716981132083</v>
      </c>
    </row>
    <row r="26" spans="1:7">
      <c r="A26" s="27"/>
      <c r="B26" s="27" t="s">
        <v>18</v>
      </c>
      <c r="C26" s="27">
        <v>611.32075471698101</v>
      </c>
      <c r="D26" s="27">
        <v>0</v>
      </c>
      <c r="E26" s="27">
        <v>0</v>
      </c>
      <c r="F26" s="27">
        <v>611.32075471698101</v>
      </c>
      <c r="G26" s="27">
        <v>1E+30</v>
      </c>
    </row>
    <row r="27" spans="1:7">
      <c r="A27" s="8"/>
      <c r="B27" s="8" t="s">
        <v>17</v>
      </c>
      <c r="C27" s="8">
        <v>-135.84905660377353</v>
      </c>
      <c r="D27" s="8">
        <v>0</v>
      </c>
      <c r="E27" s="8">
        <v>0</v>
      </c>
      <c r="F27" s="8">
        <v>1E+30</v>
      </c>
      <c r="G27" s="8">
        <v>135.84905660377353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0BD2-20A7-4614-BE17-E40D3AA52C6C}">
  <dimension ref="A1:G32"/>
  <sheetViews>
    <sheetView workbookViewId="0"/>
  </sheetViews>
  <sheetFormatPr defaultRowHeight="15"/>
  <cols>
    <col min="3" max="4" width="12" bestFit="1" customWidth="1"/>
    <col min="7" max="7" width="13.5703125" bestFit="1" customWidth="1"/>
  </cols>
  <sheetData>
    <row r="1" spans="1:4">
      <c r="A1" s="7" t="s">
        <v>32</v>
      </c>
    </row>
    <row r="2" spans="1:4">
      <c r="A2" s="7" t="s">
        <v>33</v>
      </c>
    </row>
    <row r="3" spans="1:4">
      <c r="A3" s="7" t="s">
        <v>34</v>
      </c>
    </row>
    <row r="4" spans="1:4">
      <c r="A4" s="7" t="s">
        <v>35</v>
      </c>
    </row>
    <row r="5" spans="1:4">
      <c r="A5" s="7" t="s">
        <v>3</v>
      </c>
    </row>
    <row r="6" spans="1:4">
      <c r="A6" s="7" t="s">
        <v>36</v>
      </c>
    </row>
    <row r="7" spans="1:4">
      <c r="A7" s="7" t="s">
        <v>37</v>
      </c>
    </row>
    <row r="8" spans="1:4">
      <c r="A8" s="7" t="s">
        <v>38</v>
      </c>
    </row>
    <row r="9" spans="1:4">
      <c r="A9" s="7" t="s">
        <v>39</v>
      </c>
    </row>
    <row r="12" spans="1:4">
      <c r="A12" s="10" t="s">
        <v>4</v>
      </c>
      <c r="B12" s="10"/>
      <c r="C12" s="10"/>
      <c r="D12" s="10"/>
    </row>
    <row r="13" spans="1:4">
      <c r="A13" s="28"/>
      <c r="B13" s="28" t="s">
        <v>5</v>
      </c>
      <c r="C13" s="28" t="s">
        <v>6</v>
      </c>
      <c r="D13" s="28" t="s">
        <v>7</v>
      </c>
    </row>
    <row r="14" spans="1:4">
      <c r="A14" s="8"/>
      <c r="B14" s="9" t="s">
        <v>8</v>
      </c>
      <c r="C14" s="8">
        <v>83207.547169811311</v>
      </c>
      <c r="D14" s="8">
        <v>83207.547169811311</v>
      </c>
    </row>
    <row r="17" spans="1:7">
      <c r="A17" s="10" t="s">
        <v>9</v>
      </c>
      <c r="B17" s="10"/>
      <c r="C17" s="10"/>
      <c r="D17" s="10"/>
    </row>
    <row r="18" spans="1:7">
      <c r="A18" s="28"/>
      <c r="B18" s="28" t="s">
        <v>5</v>
      </c>
      <c r="C18" s="28" t="s">
        <v>6</v>
      </c>
      <c r="D18" s="28" t="s">
        <v>7</v>
      </c>
    </row>
    <row r="19" spans="1:7">
      <c r="A19" s="27"/>
      <c r="B19" s="27" t="s">
        <v>17</v>
      </c>
      <c r="C19" s="27">
        <v>475.47169811320759</v>
      </c>
      <c r="D19" s="27">
        <v>475.47169811320759</v>
      </c>
    </row>
    <row r="20" spans="1:7">
      <c r="A20" s="27"/>
      <c r="B20" s="27" t="s">
        <v>18</v>
      </c>
      <c r="C20" s="27">
        <v>883.01886792452819</v>
      </c>
      <c r="D20" s="27">
        <v>883.01886792452819</v>
      </c>
    </row>
    <row r="21" spans="1:7">
      <c r="A21" s="27"/>
      <c r="B21" s="27" t="s">
        <v>19</v>
      </c>
      <c r="C21" s="27">
        <v>0</v>
      </c>
      <c r="D21" s="27">
        <v>0</v>
      </c>
    </row>
    <row r="22" spans="1:7">
      <c r="A22" s="8"/>
      <c r="B22" s="8" t="s">
        <v>20</v>
      </c>
      <c r="C22" s="8">
        <v>0</v>
      </c>
      <c r="D22" s="8">
        <v>0</v>
      </c>
    </row>
    <row r="24" spans="1:7">
      <c r="A24" s="10" t="s">
        <v>21</v>
      </c>
      <c r="B24" s="10"/>
      <c r="C24" s="10"/>
      <c r="D24" s="10"/>
      <c r="E24" s="10"/>
      <c r="F24" s="10"/>
      <c r="G24" s="10"/>
    </row>
    <row r="25" spans="1:7">
      <c r="A25" s="28"/>
      <c r="B25" s="28" t="s">
        <v>5</v>
      </c>
      <c r="C25" s="28" t="s">
        <v>6</v>
      </c>
      <c r="D25" s="28" t="s">
        <v>7</v>
      </c>
      <c r="E25" s="28" t="s">
        <v>40</v>
      </c>
      <c r="F25" s="28" t="s">
        <v>41</v>
      </c>
      <c r="G25" s="28" t="s">
        <v>42</v>
      </c>
    </row>
    <row r="26" spans="1:7">
      <c r="A26" s="27"/>
      <c r="B26" s="27" t="s">
        <v>29</v>
      </c>
      <c r="C26" s="27">
        <v>3599.9999999999995</v>
      </c>
      <c r="D26" s="27">
        <v>3599.9999999999995</v>
      </c>
      <c r="E26" s="27">
        <v>-1E+30</v>
      </c>
      <c r="F26" s="27">
        <v>3600</v>
      </c>
      <c r="G26" s="27">
        <v>4.5474735088646412E-13</v>
      </c>
    </row>
    <row r="27" spans="1:7">
      <c r="A27" s="27"/>
      <c r="B27" s="27" t="s">
        <v>30</v>
      </c>
      <c r="C27" s="27">
        <v>36000</v>
      </c>
      <c r="D27" s="27">
        <v>36000</v>
      </c>
      <c r="E27" s="27">
        <v>-1E+30</v>
      </c>
      <c r="F27" s="27">
        <v>36000</v>
      </c>
      <c r="G27" s="27">
        <v>0</v>
      </c>
    </row>
    <row r="28" spans="1:7">
      <c r="A28" s="27"/>
      <c r="B28" s="27" t="s">
        <v>31</v>
      </c>
      <c r="C28" s="27">
        <v>1358.4905660377358</v>
      </c>
      <c r="D28" s="27">
        <v>1358.4905660377358</v>
      </c>
      <c r="E28" s="27">
        <v>900</v>
      </c>
      <c r="F28" s="27">
        <v>1E+30</v>
      </c>
      <c r="G28" s="27">
        <v>-458.49056603773579</v>
      </c>
    </row>
    <row r="29" spans="1:7">
      <c r="A29" s="27"/>
      <c r="B29" s="27" t="s">
        <v>17</v>
      </c>
      <c r="C29" s="27">
        <v>0</v>
      </c>
      <c r="D29" s="27">
        <v>0</v>
      </c>
      <c r="E29" s="27">
        <v>0</v>
      </c>
      <c r="F29" s="27">
        <v>1E+30</v>
      </c>
      <c r="G29" s="27">
        <v>0</v>
      </c>
    </row>
    <row r="30" spans="1:7">
      <c r="A30" s="27"/>
      <c r="B30" s="27" t="s">
        <v>19</v>
      </c>
      <c r="C30" s="27">
        <v>-407.54716981132077</v>
      </c>
      <c r="D30" s="27">
        <v>-407.54716981132077</v>
      </c>
      <c r="E30" s="27">
        <v>-1E+30</v>
      </c>
      <c r="F30" s="27">
        <v>0</v>
      </c>
      <c r="G30" s="27">
        <v>407.54716981132077</v>
      </c>
    </row>
    <row r="31" spans="1:7">
      <c r="A31" s="27"/>
      <c r="B31" s="27" t="s">
        <v>18</v>
      </c>
      <c r="C31" s="27">
        <v>611.32075471698101</v>
      </c>
      <c r="D31" s="27">
        <v>611.32075471698101</v>
      </c>
      <c r="E31" s="27">
        <v>0</v>
      </c>
      <c r="F31" s="27">
        <v>1E+30</v>
      </c>
      <c r="G31" s="27">
        <v>-611.32075471698101</v>
      </c>
    </row>
    <row r="32" spans="1:7">
      <c r="A32" s="8"/>
      <c r="B32" s="8" t="s">
        <v>17</v>
      </c>
      <c r="C32" s="8">
        <v>-135.84905660377353</v>
      </c>
      <c r="D32" s="8">
        <v>-135.84905660377353</v>
      </c>
      <c r="E32" s="8">
        <v>-1E+30</v>
      </c>
      <c r="F32" s="8">
        <v>0</v>
      </c>
      <c r="G32" s="8">
        <v>135.84905660377353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B6" sqref="B6"/>
    </sheetView>
  </sheetViews>
  <sheetFormatPr defaultRowHeight="15"/>
  <cols>
    <col min="2" max="2" width="9.28515625" bestFit="1" customWidth="1"/>
  </cols>
  <sheetData>
    <row r="1" spans="1:13">
      <c r="E1" s="12" t="s">
        <v>43</v>
      </c>
      <c r="F1" s="29"/>
      <c r="G1" s="29"/>
      <c r="H1" s="29"/>
      <c r="I1" s="29"/>
      <c r="J1" s="29"/>
      <c r="K1" s="29"/>
      <c r="L1" s="29"/>
      <c r="M1" s="30"/>
    </row>
    <row r="2" spans="1:13">
      <c r="E2" s="31"/>
      <c r="F2" s="32"/>
      <c r="G2" s="32"/>
      <c r="H2" s="32"/>
      <c r="I2" s="32"/>
      <c r="J2" s="32"/>
      <c r="K2" s="32"/>
      <c r="L2" s="32"/>
      <c r="M2" s="33"/>
    </row>
    <row r="3" spans="1:13">
      <c r="E3" s="34"/>
      <c r="F3" s="35"/>
      <c r="G3" s="35"/>
      <c r="H3" s="35"/>
      <c r="I3" s="35"/>
      <c r="J3" s="35"/>
      <c r="K3" s="35"/>
      <c r="L3" s="35"/>
      <c r="M3" s="36"/>
    </row>
    <row r="5" spans="1:13">
      <c r="A5" s="11" t="s">
        <v>44</v>
      </c>
      <c r="B5" s="3" t="s">
        <v>45</v>
      </c>
      <c r="C5" s="3" t="s">
        <v>46</v>
      </c>
      <c r="D5" s="3" t="s">
        <v>47</v>
      </c>
      <c r="E5" s="19" t="s">
        <v>48</v>
      </c>
      <c r="F5" s="23"/>
    </row>
    <row r="6" spans="1:13">
      <c r="A6" s="1" t="s">
        <v>49</v>
      </c>
      <c r="B6" s="2">
        <v>475.47169811320759</v>
      </c>
      <c r="C6" s="2">
        <v>45</v>
      </c>
      <c r="D6" s="5">
        <v>2</v>
      </c>
      <c r="E6" s="19">
        <v>20</v>
      </c>
      <c r="F6" s="23"/>
    </row>
    <row r="7" spans="1:13">
      <c r="A7" s="1" t="s">
        <v>50</v>
      </c>
      <c r="B7" s="2">
        <v>883.01886792452819</v>
      </c>
      <c r="C7" s="2">
        <v>70</v>
      </c>
      <c r="D7" s="5">
        <v>3</v>
      </c>
      <c r="E7" s="19">
        <v>30</v>
      </c>
      <c r="F7" s="23"/>
    </row>
    <row r="8" spans="1:13">
      <c r="A8" s="13" t="s">
        <v>51</v>
      </c>
      <c r="B8" s="4">
        <v>0</v>
      </c>
      <c r="C8" s="4">
        <v>90</v>
      </c>
      <c r="D8" s="6">
        <v>4</v>
      </c>
      <c r="E8" s="19">
        <v>40</v>
      </c>
      <c r="F8" s="23"/>
    </row>
    <row r="9" spans="1:13">
      <c r="A9" s="14" t="s">
        <v>52</v>
      </c>
      <c r="B9" s="14">
        <v>0</v>
      </c>
      <c r="C9" s="14">
        <v>-120</v>
      </c>
      <c r="D9" s="24">
        <v>0</v>
      </c>
      <c r="E9" s="19">
        <v>-60</v>
      </c>
      <c r="F9" s="23"/>
    </row>
    <row r="10" spans="1:13" ht="15" customHeight="1">
      <c r="B10" s="21"/>
      <c r="C10" s="21"/>
      <c r="D10" s="21"/>
      <c r="E10" s="21"/>
      <c r="F10" s="25"/>
    </row>
    <row r="11" spans="1:13" ht="15.75">
      <c r="A11" s="20" t="s">
        <v>53</v>
      </c>
      <c r="B11" s="17">
        <f>SUM(B6:B8)</f>
        <v>1358.4905660377358</v>
      </c>
      <c r="C11" s="16">
        <f>SUMPRODUCT(B6:B9,C6:C9)</f>
        <v>83207.547169811311</v>
      </c>
      <c r="D11" s="15">
        <f>SUMPRODUCT(B6:B9,D6:D9)</f>
        <v>3599.9999999999995</v>
      </c>
      <c r="E11" s="18">
        <f>SUMPRODUCT(B6:B9,E6:E9)</f>
        <v>36000</v>
      </c>
      <c r="F11" s="26"/>
    </row>
    <row r="12" spans="1:13">
      <c r="A12" s="14" t="s">
        <v>54</v>
      </c>
      <c r="B12" s="14" t="s">
        <v>55</v>
      </c>
      <c r="C12" s="14"/>
      <c r="D12" s="14">
        <v>3600</v>
      </c>
      <c r="E12" s="22">
        <v>36000</v>
      </c>
      <c r="F12" s="23"/>
    </row>
  </sheetData>
  <mergeCells count="1">
    <mergeCell ref="E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2026-10-05T22:34:20Z</dcterms:created>
  <dcterms:modified xsi:type="dcterms:W3CDTF">2026-10-06T00:32:25Z</dcterms:modified>
  <cp:category/>
  <cp:contentStatus/>
</cp:coreProperties>
</file>